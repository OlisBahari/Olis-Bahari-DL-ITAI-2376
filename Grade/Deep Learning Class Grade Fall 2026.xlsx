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ropbox\Artifical Intellegence\Houston City College (HCC)\03 Deep Learning in Artificial Intelligence\Olis-Bahari-DL-ITAI-2376\Grade\"/>
    </mc:Choice>
  </mc:AlternateContent>
  <xr:revisionPtr revIDLastSave="0" documentId="13_ncr:1_{AB5B0B6E-935B-43F0-BC81-64526D263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" sheetId="2" r:id="rId1"/>
    <sheet name="SUMMARY" sheetId="3" r:id="rId2"/>
  </sheets>
  <definedNames>
    <definedName name="_xlnm._FilterDatabase" localSheetId="0" hidden="1">DETAIL!$C$1:$I$18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H3" i="3"/>
  <c r="F3" i="3"/>
  <c r="B3" i="3"/>
  <c r="B21" i="2"/>
  <c r="B20" i="2"/>
  <c r="B19" i="2"/>
  <c r="B7" i="3"/>
  <c r="B6" i="3"/>
  <c r="B18" i="2"/>
  <c r="B17" i="2"/>
  <c r="B16" i="2"/>
  <c r="B15" i="2"/>
  <c r="B14" i="2"/>
  <c r="B13" i="2"/>
  <c r="B12" i="2"/>
  <c r="B11" i="2"/>
  <c r="B10" i="2"/>
  <c r="B9" i="2"/>
  <c r="B8" i="2"/>
  <c r="B4" i="2"/>
  <c r="B3" i="2"/>
  <c r="B2" i="2"/>
  <c r="B6" i="2"/>
  <c r="D8" i="3"/>
  <c r="B8" i="3"/>
  <c r="F5" i="3"/>
  <c r="F4" i="3"/>
  <c r="F2" i="3"/>
  <c r="B5" i="2"/>
  <c r="I3" i="3" l="1"/>
  <c r="G3" i="3"/>
  <c r="G5" i="3"/>
  <c r="I5" i="3"/>
  <c r="G4" i="3"/>
  <c r="I4" i="3"/>
  <c r="G2" i="3"/>
  <c r="I2" i="3"/>
  <c r="F8" i="3"/>
  <c r="H5" i="3"/>
  <c r="H4" i="3"/>
  <c r="H2" i="3"/>
  <c r="B5" i="3"/>
  <c r="B4" i="3"/>
  <c r="B2" i="3"/>
  <c r="K3" i="3" l="1"/>
  <c r="J3" i="3"/>
  <c r="K4" i="3"/>
  <c r="J2" i="3"/>
  <c r="E8" i="3"/>
  <c r="G8" i="3" s="1"/>
  <c r="J4" i="3"/>
  <c r="H8" i="3"/>
  <c r="K2" i="3" l="1"/>
  <c r="J5" i="3"/>
  <c r="K5" i="3"/>
  <c r="I8" i="3"/>
  <c r="J8" i="3" l="1"/>
  <c r="K8" i="3" s="1"/>
</calcChain>
</file>

<file path=xl/sharedStrings.xml><?xml version="1.0" encoding="utf-8"?>
<sst xmlns="http://schemas.openxmlformats.org/spreadsheetml/2006/main" count="108" uniqueCount="44">
  <si>
    <t xml:space="preserve"> </t>
  </si>
  <si>
    <t xml:space="preserve">DUE </t>
  </si>
  <si>
    <t>STATUS</t>
  </si>
  <si>
    <t>SCORE</t>
  </si>
  <si>
    <t>TYPE</t>
  </si>
  <si>
    <t>NO</t>
  </si>
  <si>
    <t>GROUP</t>
  </si>
  <si>
    <t>TOTAL</t>
  </si>
  <si>
    <t>%</t>
  </si>
  <si>
    <t>COUNT</t>
  </si>
  <si>
    <t>GRADE</t>
  </si>
  <si>
    <t>RESULT</t>
  </si>
  <si>
    <t>DESCRIPTION</t>
  </si>
  <si>
    <t>TAG</t>
  </si>
  <si>
    <t>DIFF</t>
  </si>
  <si>
    <t>COURSE</t>
  </si>
  <si>
    <t>Term Project MidTerm</t>
  </si>
  <si>
    <t>Capstone Project</t>
  </si>
  <si>
    <t>Portfolio</t>
  </si>
  <si>
    <t>Class Preparedness Quiz</t>
  </si>
  <si>
    <t>Participation/Attendance Grade - No Submission! &lt;optional&gt;</t>
  </si>
  <si>
    <t>A02 A Comparative Analysis of Machine Learning and Deep Learning Tools and Frameworks</t>
  </si>
  <si>
    <t>L02 Exploring Deep Learning Tools: A No-Code Introduction to TensorFlow and Keras</t>
  </si>
  <si>
    <t>Student Intro &lt;optional&gt;</t>
  </si>
  <si>
    <t>LIMIT</t>
  </si>
  <si>
    <t>A02</t>
  </si>
  <si>
    <t>L02</t>
  </si>
  <si>
    <t>Indivdual</t>
  </si>
  <si>
    <t>INTR</t>
  </si>
  <si>
    <t>Assignments</t>
  </si>
  <si>
    <t>Laboratories</t>
  </si>
  <si>
    <t>Introduction</t>
  </si>
  <si>
    <t>ITAI-2376</t>
  </si>
  <si>
    <t>Team</t>
  </si>
  <si>
    <t>Submitted</t>
  </si>
  <si>
    <t>A03</t>
  </si>
  <si>
    <t>A03 Neural Network Zoo</t>
  </si>
  <si>
    <t>A04</t>
  </si>
  <si>
    <t>L04 Lab ITAI 2376</t>
  </si>
  <si>
    <t>L04</t>
  </si>
  <si>
    <t>A04 ITAI 2376 Deep Learning for an 11 year old</t>
  </si>
  <si>
    <t>HOW</t>
  </si>
  <si>
    <t>Graded</t>
  </si>
  <si>
    <t>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</si>
</sst>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273540"/>
      <name val="Arial"/>
      <family val="2"/>
    </font>
    <font>
      <sz val="12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3" borderId="0" xfId="0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4" fillId="3" borderId="1" xfId="0" applyNumberFormat="1" applyFont="1" applyFill="1" applyBorder="1"/>
    <xf numFmtId="0" fontId="3" fillId="3" borderId="0" xfId="0" applyFont="1" applyFill="1"/>
    <xf numFmtId="0" fontId="5" fillId="3" borderId="0" xfId="0" applyFont="1" applyFill="1"/>
    <xf numFmtId="2" fontId="4" fillId="3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/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0" fontId="8" fillId="4" borderId="3" xfId="0" applyFont="1" applyFill="1" applyBorder="1"/>
    <xf numFmtId="0" fontId="1" fillId="4" borderId="3" xfId="0" applyFont="1" applyFill="1" applyBorder="1" applyAlignment="1">
      <alignment horizontal="center"/>
    </xf>
    <xf numFmtId="9" fontId="1" fillId="4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9" fillId="0" borderId="0" xfId="0" applyFont="1"/>
    <xf numFmtId="0" fontId="0" fillId="0" borderId="3" xfId="0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164" fontId="2" fillId="3" borderId="3" xfId="0" applyNumberFormat="1" applyFont="1" applyFill="1" applyBorder="1"/>
    <xf numFmtId="49" fontId="2" fillId="3" borderId="3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164" fontId="1" fillId="2" borderId="5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2" fontId="1" fillId="2" borderId="5" xfId="0" applyNumberFormat="1" applyFont="1" applyFill="1" applyBorder="1" applyAlignment="1">
      <alignment horizontal="center" wrapText="1"/>
    </xf>
    <xf numFmtId="2" fontId="1" fillId="2" borderId="6" xfId="0" applyNumberFormat="1" applyFont="1" applyFill="1" applyBorder="1" applyAlignment="1">
      <alignment horizontal="center" wrapText="1"/>
    </xf>
    <xf numFmtId="2" fontId="10" fillId="3" borderId="3" xfId="0" applyNumberFormat="1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0" fontId="0" fillId="3" borderId="3" xfId="0" applyFill="1" applyBorder="1"/>
    <xf numFmtId="0" fontId="0" fillId="5" borderId="3" xfId="0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164" fontId="2" fillId="5" borderId="1" xfId="0" applyNumberFormat="1" applyFont="1" applyFill="1" applyBorder="1"/>
    <xf numFmtId="49" fontId="2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1" fillId="3" borderId="3" xfId="0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/>
    <xf numFmtId="164" fontId="12" fillId="3" borderId="1" xfId="0" applyNumberFormat="1" applyFont="1" applyFill="1" applyBorder="1"/>
    <xf numFmtId="49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85E5-1607-4393-A02C-A993BE456A12}">
  <sheetPr>
    <pageSetUpPr fitToPage="1"/>
  </sheetPr>
  <dimension ref="A1:J21"/>
  <sheetViews>
    <sheetView showZeros="0" tabSelected="1" zoomScaleNormal="100" workbookViewId="0">
      <selection activeCell="D4" sqref="D4"/>
    </sheetView>
  </sheetViews>
  <sheetFormatPr defaultRowHeight="15.6" x14ac:dyDescent="0.3"/>
  <cols>
    <col min="1" max="1" width="8.88671875" bestFit="1" customWidth="1"/>
    <col min="2" max="2" width="4" style="2" bestFit="1" customWidth="1"/>
    <col min="3" max="3" width="5.33203125" style="2" bestFit="1" customWidth="1"/>
    <col min="4" max="4" width="88.5546875" style="3" bestFit="1" customWidth="1"/>
    <col min="5" max="5" width="12.6640625" style="2" bestFit="1" customWidth="1"/>
    <col min="6" max="6" width="14.44140625" style="2" bestFit="1" customWidth="1"/>
    <col min="7" max="7" width="9.5546875" style="4" bestFit="1" customWidth="1"/>
    <col min="8" max="8" width="10.6640625" style="24" bestFit="1" customWidth="1"/>
    <col min="9" max="10" width="7.33203125" style="19" bestFit="1" customWidth="1"/>
  </cols>
  <sheetData>
    <row r="1" spans="1:10" s="20" customFormat="1" ht="16.2" thickBot="1" x14ac:dyDescent="0.35">
      <c r="A1" s="44" t="s">
        <v>15</v>
      </c>
      <c r="B1" s="45" t="s">
        <v>5</v>
      </c>
      <c r="C1" s="45" t="s">
        <v>13</v>
      </c>
      <c r="D1" s="46" t="s">
        <v>12</v>
      </c>
      <c r="E1" s="46" t="s">
        <v>4</v>
      </c>
      <c r="F1" s="46" t="s">
        <v>41</v>
      </c>
      <c r="G1" s="47" t="s">
        <v>1</v>
      </c>
      <c r="H1" s="48" t="s">
        <v>2</v>
      </c>
      <c r="I1" s="49" t="s">
        <v>3</v>
      </c>
      <c r="J1" s="50" t="s">
        <v>24</v>
      </c>
    </row>
    <row r="2" spans="1:10" x14ac:dyDescent="0.3">
      <c r="A2" s="38" t="s">
        <v>32</v>
      </c>
      <c r="B2" s="39">
        <f t="shared" ref="B2:B21" si="0">ROW()-1</f>
        <v>1</v>
      </c>
      <c r="C2" s="39" t="s">
        <v>28</v>
      </c>
      <c r="D2" s="40" t="s">
        <v>19</v>
      </c>
      <c r="E2" s="39" t="s">
        <v>31</v>
      </c>
      <c r="F2" s="39" t="s">
        <v>27</v>
      </c>
      <c r="G2" s="41" t="s">
        <v>0</v>
      </c>
      <c r="H2" s="42"/>
      <c r="I2" s="51">
        <v>6</v>
      </c>
      <c r="J2" s="43">
        <v>6</v>
      </c>
    </row>
    <row r="3" spans="1:10" s="5" customFormat="1" x14ac:dyDescent="0.3">
      <c r="A3" s="38" t="s">
        <v>32</v>
      </c>
      <c r="B3" s="8">
        <f t="shared" si="0"/>
        <v>2</v>
      </c>
      <c r="C3" s="8" t="s">
        <v>28</v>
      </c>
      <c r="D3" s="6" t="s">
        <v>20</v>
      </c>
      <c r="E3" s="39" t="s">
        <v>31</v>
      </c>
      <c r="F3" s="8" t="s">
        <v>27</v>
      </c>
      <c r="G3" s="7" t="s">
        <v>0</v>
      </c>
      <c r="H3" s="23"/>
      <c r="I3" s="52">
        <v>100</v>
      </c>
      <c r="J3" s="18">
        <v>100</v>
      </c>
    </row>
    <row r="4" spans="1:10" s="16" customFormat="1" x14ac:dyDescent="0.3">
      <c r="A4" s="38" t="s">
        <v>32</v>
      </c>
      <c r="B4" s="8">
        <f t="shared" si="0"/>
        <v>3</v>
      </c>
      <c r="C4" s="8" t="s">
        <v>28</v>
      </c>
      <c r="D4" s="6" t="s">
        <v>23</v>
      </c>
      <c r="E4" s="39" t="s">
        <v>31</v>
      </c>
      <c r="F4" s="8" t="s">
        <v>27</v>
      </c>
      <c r="G4" s="15" t="s">
        <v>0</v>
      </c>
      <c r="H4" s="23"/>
      <c r="I4" s="52">
        <v>12</v>
      </c>
      <c r="J4" s="18">
        <v>12</v>
      </c>
    </row>
    <row r="5" spans="1:10" s="5" customFormat="1" x14ac:dyDescent="0.3">
      <c r="A5" s="53" t="s">
        <v>32</v>
      </c>
      <c r="B5" s="8">
        <f>ROW()-1</f>
        <v>4</v>
      </c>
      <c r="C5" s="8" t="s">
        <v>25</v>
      </c>
      <c r="D5" s="6" t="s">
        <v>21</v>
      </c>
      <c r="E5" s="8" t="s">
        <v>29</v>
      </c>
      <c r="F5" s="8" t="s">
        <v>33</v>
      </c>
      <c r="G5" s="7">
        <v>46268</v>
      </c>
      <c r="H5" s="23" t="s">
        <v>42</v>
      </c>
      <c r="I5" s="60">
        <v>95</v>
      </c>
      <c r="J5" s="18">
        <v>100</v>
      </c>
    </row>
    <row r="6" spans="1:10" s="67" customFormat="1" x14ac:dyDescent="0.3">
      <c r="A6" s="61" t="s">
        <v>32</v>
      </c>
      <c r="B6" s="62">
        <f t="shared" si="0"/>
        <v>5</v>
      </c>
      <c r="C6" s="62" t="s">
        <v>26</v>
      </c>
      <c r="D6" s="63" t="s">
        <v>22</v>
      </c>
      <c r="E6" s="62" t="s">
        <v>30</v>
      </c>
      <c r="F6" s="62" t="s">
        <v>33</v>
      </c>
      <c r="G6" s="64">
        <v>46272</v>
      </c>
      <c r="H6" s="65" t="s">
        <v>43</v>
      </c>
      <c r="I6" s="66">
        <v>100</v>
      </c>
      <c r="J6" s="66">
        <v>100</v>
      </c>
    </row>
    <row r="7" spans="1:10" s="5" customFormat="1" x14ac:dyDescent="0.3">
      <c r="A7" s="53" t="s">
        <v>32</v>
      </c>
      <c r="B7" s="8">
        <f t="shared" si="0"/>
        <v>6</v>
      </c>
      <c r="C7" s="8" t="s">
        <v>35</v>
      </c>
      <c r="D7" s="6" t="s">
        <v>36</v>
      </c>
      <c r="E7" s="8" t="s">
        <v>29</v>
      </c>
      <c r="F7" s="8" t="s">
        <v>33</v>
      </c>
      <c r="G7" s="7">
        <v>46275</v>
      </c>
      <c r="H7" s="23" t="s">
        <v>34</v>
      </c>
      <c r="I7" s="52">
        <v>100</v>
      </c>
      <c r="J7" s="18">
        <v>100</v>
      </c>
    </row>
    <row r="8" spans="1:10" s="17" customFormat="1" x14ac:dyDescent="0.3">
      <c r="A8" s="54" t="s">
        <v>32</v>
      </c>
      <c r="B8" s="55">
        <f t="shared" si="0"/>
        <v>7</v>
      </c>
      <c r="C8" s="55" t="s">
        <v>37</v>
      </c>
      <c r="D8" s="56" t="s">
        <v>40</v>
      </c>
      <c r="E8" s="55" t="s">
        <v>29</v>
      </c>
      <c r="F8" s="55" t="s">
        <v>33</v>
      </c>
      <c r="G8" s="57">
        <v>46282</v>
      </c>
      <c r="H8" s="58"/>
      <c r="I8" s="59" t="s">
        <v>0</v>
      </c>
      <c r="J8" s="59" t="s">
        <v>0</v>
      </c>
    </row>
    <row r="9" spans="1:10" s="17" customFormat="1" x14ac:dyDescent="0.3">
      <c r="A9" s="38" t="s">
        <v>32</v>
      </c>
      <c r="B9" s="8">
        <f t="shared" si="0"/>
        <v>8</v>
      </c>
      <c r="C9" s="8" t="s">
        <v>39</v>
      </c>
      <c r="D9" s="6" t="s">
        <v>38</v>
      </c>
      <c r="E9" s="8" t="s">
        <v>29</v>
      </c>
      <c r="F9" s="8" t="s">
        <v>33</v>
      </c>
      <c r="G9" s="7">
        <v>46286</v>
      </c>
      <c r="H9" s="23"/>
      <c r="I9" s="18">
        <v>0</v>
      </c>
      <c r="J9" s="18">
        <v>0</v>
      </c>
    </row>
    <row r="10" spans="1:10" s="17" customFormat="1" x14ac:dyDescent="0.3">
      <c r="A10" s="38" t="s">
        <v>32</v>
      </c>
      <c r="B10" s="8">
        <f t="shared" si="0"/>
        <v>9</v>
      </c>
      <c r="C10" s="8" t="s">
        <v>0</v>
      </c>
      <c r="D10" s="6"/>
      <c r="E10" s="8"/>
      <c r="F10" s="8"/>
      <c r="G10" s="15"/>
      <c r="H10" s="23"/>
      <c r="I10" s="18">
        <v>0</v>
      </c>
      <c r="J10" s="18">
        <v>0</v>
      </c>
    </row>
    <row r="11" spans="1:10" s="17" customFormat="1" x14ac:dyDescent="0.3">
      <c r="A11" s="38" t="s">
        <v>32</v>
      </c>
      <c r="B11" s="8">
        <f t="shared" si="0"/>
        <v>10</v>
      </c>
      <c r="C11" s="8" t="s">
        <v>0</v>
      </c>
      <c r="D11" s="6"/>
      <c r="E11" s="8"/>
      <c r="F11" s="8"/>
      <c r="G11" s="15"/>
      <c r="H11" s="23"/>
      <c r="I11" s="18">
        <v>0</v>
      </c>
      <c r="J11" s="18">
        <v>0</v>
      </c>
    </row>
    <row r="12" spans="1:10" s="17" customFormat="1" x14ac:dyDescent="0.3">
      <c r="A12" s="38" t="s">
        <v>32</v>
      </c>
      <c r="B12" s="8">
        <f t="shared" si="0"/>
        <v>11</v>
      </c>
      <c r="C12" s="8" t="s">
        <v>0</v>
      </c>
      <c r="D12" s="6"/>
      <c r="E12" s="8"/>
      <c r="F12" s="8"/>
      <c r="G12" s="15"/>
      <c r="H12" s="23"/>
      <c r="I12" s="18">
        <v>0</v>
      </c>
      <c r="J12" s="18">
        <v>0</v>
      </c>
    </row>
    <row r="13" spans="1:10" s="17" customFormat="1" x14ac:dyDescent="0.3">
      <c r="A13" s="38" t="s">
        <v>32</v>
      </c>
      <c r="B13" s="8">
        <f t="shared" si="0"/>
        <v>12</v>
      </c>
      <c r="C13" s="8" t="s">
        <v>0</v>
      </c>
      <c r="D13" s="6"/>
      <c r="E13" s="8"/>
      <c r="F13" s="8"/>
      <c r="G13" s="15"/>
      <c r="H13" s="23"/>
      <c r="I13" s="18">
        <v>0</v>
      </c>
      <c r="J13" s="18">
        <v>0</v>
      </c>
    </row>
    <row r="14" spans="1:10" x14ac:dyDescent="0.3">
      <c r="A14" s="38" t="s">
        <v>32</v>
      </c>
      <c r="B14" s="8">
        <f t="shared" si="0"/>
        <v>13</v>
      </c>
      <c r="C14" s="8" t="s">
        <v>0</v>
      </c>
      <c r="D14" s="6"/>
      <c r="E14" s="8"/>
      <c r="F14" s="8"/>
      <c r="G14" s="7"/>
      <c r="H14" s="23"/>
      <c r="I14" s="18">
        <v>0</v>
      </c>
      <c r="J14" s="18">
        <v>0</v>
      </c>
    </row>
    <row r="15" spans="1:10" s="5" customFormat="1" x14ac:dyDescent="0.3">
      <c r="A15" s="38" t="s">
        <v>32</v>
      </c>
      <c r="B15" s="8">
        <f t="shared" si="0"/>
        <v>14</v>
      </c>
      <c r="C15" s="8" t="s">
        <v>0</v>
      </c>
      <c r="D15" s="6" t="s">
        <v>0</v>
      </c>
      <c r="E15" s="8"/>
      <c r="F15" s="8"/>
      <c r="G15" s="7"/>
      <c r="H15" s="23"/>
      <c r="I15" s="18">
        <v>0</v>
      </c>
      <c r="J15" s="18">
        <v>0</v>
      </c>
    </row>
    <row r="16" spans="1:10" s="5" customFormat="1" x14ac:dyDescent="0.3">
      <c r="A16" s="38" t="s">
        <v>32</v>
      </c>
      <c r="B16" s="8">
        <f t="shared" si="0"/>
        <v>15</v>
      </c>
      <c r="C16" s="8" t="s">
        <v>0</v>
      </c>
      <c r="D16" s="6"/>
      <c r="E16" s="8"/>
      <c r="F16" s="8"/>
      <c r="G16" s="7"/>
      <c r="H16" s="23"/>
      <c r="I16" s="18">
        <v>0</v>
      </c>
      <c r="J16" s="18">
        <v>0</v>
      </c>
    </row>
    <row r="17" spans="1:10" s="5" customFormat="1" x14ac:dyDescent="0.3">
      <c r="A17" s="38" t="s">
        <v>32</v>
      </c>
      <c r="B17" s="8">
        <f t="shared" si="0"/>
        <v>16</v>
      </c>
      <c r="C17" s="8" t="s">
        <v>0</v>
      </c>
      <c r="D17" s="35"/>
      <c r="E17" s="8"/>
      <c r="F17" s="8"/>
      <c r="G17" s="7"/>
      <c r="H17" s="23"/>
      <c r="I17" s="18">
        <v>0</v>
      </c>
      <c r="J17" s="18">
        <v>0</v>
      </c>
    </row>
    <row r="18" spans="1:10" x14ac:dyDescent="0.3">
      <c r="A18" s="38" t="s">
        <v>32</v>
      </c>
      <c r="B18" s="8">
        <f t="shared" si="0"/>
        <v>17</v>
      </c>
      <c r="C18" s="8" t="s">
        <v>0</v>
      </c>
      <c r="D18" s="6"/>
      <c r="E18" s="8"/>
      <c r="F18" s="8"/>
      <c r="G18" s="7"/>
      <c r="H18" s="23"/>
      <c r="I18" s="18">
        <v>0</v>
      </c>
      <c r="J18" s="18">
        <v>0</v>
      </c>
    </row>
    <row r="19" spans="1:10" x14ac:dyDescent="0.3">
      <c r="A19" s="38" t="s">
        <v>32</v>
      </c>
      <c r="B19" s="8">
        <f t="shared" si="0"/>
        <v>18</v>
      </c>
      <c r="C19" s="8" t="s">
        <v>0</v>
      </c>
      <c r="D19" s="6"/>
      <c r="E19" s="8"/>
      <c r="F19" s="8"/>
      <c r="G19" s="7"/>
      <c r="H19" s="23"/>
      <c r="I19" s="18">
        <v>0</v>
      </c>
      <c r="J19" s="18">
        <v>0</v>
      </c>
    </row>
    <row r="20" spans="1:10" x14ac:dyDescent="0.3">
      <c r="A20" s="38" t="s">
        <v>32</v>
      </c>
      <c r="B20" s="8">
        <f t="shared" si="0"/>
        <v>19</v>
      </c>
      <c r="C20" s="8" t="s">
        <v>0</v>
      </c>
      <c r="D20" s="6"/>
      <c r="E20" s="8"/>
      <c r="F20" s="8"/>
      <c r="G20" s="7"/>
      <c r="H20" s="23"/>
      <c r="I20" s="18">
        <v>0</v>
      </c>
      <c r="J20" s="18">
        <v>0</v>
      </c>
    </row>
    <row r="21" spans="1:10" x14ac:dyDescent="0.3">
      <c r="A21" s="38" t="s">
        <v>32</v>
      </c>
      <c r="B21" s="8">
        <f t="shared" si="0"/>
        <v>20</v>
      </c>
      <c r="C21" s="8" t="s">
        <v>0</v>
      </c>
      <c r="D21" s="6"/>
      <c r="E21" s="8"/>
      <c r="F21" s="8"/>
      <c r="G21" s="7"/>
      <c r="H21" s="23"/>
      <c r="I21" s="18">
        <v>0</v>
      </c>
      <c r="J21" s="18">
        <v>0</v>
      </c>
    </row>
  </sheetData>
  <printOptions horizontalCentered="1"/>
  <pageMargins left="0.2" right="0.2" top="0.75" bottom="0.75" header="0.3" footer="0.3"/>
  <pageSetup orientation="landscape" r:id="rId1"/>
  <headerFooter>
    <oddHeader>&amp;C&amp;"-,Bold"&amp;16&amp;A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368D-D64E-4E08-A7B2-33A2C75F396E}">
  <dimension ref="A1:K17"/>
  <sheetViews>
    <sheetView workbookViewId="0">
      <selection activeCell="A8" sqref="A8"/>
    </sheetView>
  </sheetViews>
  <sheetFormatPr defaultRowHeight="15.6" x14ac:dyDescent="0.3"/>
  <cols>
    <col min="2" max="2" width="3.88671875" style="2" bestFit="1" customWidth="1"/>
    <col min="3" max="3" width="25.5546875" style="3" bestFit="1" customWidth="1"/>
    <col min="4" max="4" width="9.109375" style="13"/>
    <col min="5" max="5" width="6.33203125" style="2" bestFit="1" customWidth="1"/>
    <col min="6" max="8" width="9.109375" style="10"/>
    <col min="9" max="9" width="9.109375" style="14"/>
    <col min="10" max="10" width="7.6640625" style="14" bestFit="1" customWidth="1"/>
    <col min="11" max="11" width="8.88671875" style="3"/>
  </cols>
  <sheetData>
    <row r="1" spans="1:11" x14ac:dyDescent="0.3">
      <c r="A1" s="25" t="s">
        <v>15</v>
      </c>
      <c r="B1" s="25" t="s">
        <v>5</v>
      </c>
      <c r="C1" s="25" t="s">
        <v>6</v>
      </c>
      <c r="D1" s="26" t="s">
        <v>8</v>
      </c>
      <c r="E1" s="25" t="s">
        <v>24</v>
      </c>
      <c r="F1" s="27" t="s">
        <v>7</v>
      </c>
      <c r="G1" s="27" t="s">
        <v>14</v>
      </c>
      <c r="H1" s="27" t="s">
        <v>9</v>
      </c>
      <c r="I1" s="28" t="s">
        <v>3</v>
      </c>
      <c r="J1" s="28" t="s">
        <v>11</v>
      </c>
      <c r="K1" s="25" t="s">
        <v>10</v>
      </c>
    </row>
    <row r="2" spans="1:11" x14ac:dyDescent="0.3">
      <c r="A2" s="38" t="s">
        <v>32</v>
      </c>
      <c r="B2" s="1">
        <f t="shared" ref="B2:B8" si="0">ROW()-1</f>
        <v>1</v>
      </c>
      <c r="C2" s="11" t="s">
        <v>31</v>
      </c>
      <c r="D2" s="21">
        <v>0</v>
      </c>
      <c r="E2" s="22">
        <v>118</v>
      </c>
      <c r="F2" s="9">
        <f>SUMIF(DETAIL!$E$2:$E$998,C2,DETAIL!$I$2:$I$998)</f>
        <v>118</v>
      </c>
      <c r="G2" s="9">
        <f>E2-F2</f>
        <v>0</v>
      </c>
      <c r="H2" s="9">
        <f>COUNTIF(DETAIL!$E$2:$E$103,C2)</f>
        <v>3</v>
      </c>
      <c r="I2" s="12">
        <f t="shared" ref="I2:I5" si="1">IF(F2&gt;0,F2/E2*100,0)</f>
        <v>100</v>
      </c>
      <c r="J2" s="12">
        <f t="shared" ref="J2:J5" si="2">D2*I2</f>
        <v>0</v>
      </c>
      <c r="K2" s="34" t="str">
        <f t="shared" ref="K2:K5" si="3">IF(I2&gt;=90,"A",IF(I2&gt;=80,"B",IF(I2&gt;=70,"C",IF(I2&gt;=60,"D","F"))))</f>
        <v>A</v>
      </c>
    </row>
    <row r="3" spans="1:11" x14ac:dyDescent="0.3">
      <c r="A3" s="38" t="s">
        <v>32</v>
      </c>
      <c r="B3" s="1">
        <f t="shared" si="0"/>
        <v>2</v>
      </c>
      <c r="C3" s="11" t="s">
        <v>29</v>
      </c>
      <c r="D3" s="21">
        <v>0.15</v>
      </c>
      <c r="E3" s="22">
        <v>100</v>
      </c>
      <c r="F3" s="9">
        <f>SUMIF(DETAIL!$E$2:$E$998,C3,DETAIL!$I$2:$I$998)</f>
        <v>195</v>
      </c>
      <c r="G3" s="9">
        <f>E3-F3</f>
        <v>-95</v>
      </c>
      <c r="H3" s="9">
        <f>COUNTIF(DETAIL!$E$2:$E$103,C3)</f>
        <v>4</v>
      </c>
      <c r="I3" s="12">
        <f t="shared" ref="I3" si="4">IF(F3&gt;0,F3/E3*100,0)</f>
        <v>195</v>
      </c>
      <c r="J3" s="12">
        <f t="shared" ref="J3" si="5">D3*I3</f>
        <v>29.25</v>
      </c>
      <c r="K3" s="34" t="str">
        <f t="shared" ref="K3" si="6">IF(I3&gt;=90,"A",IF(I3&gt;=80,"B",IF(I3&gt;=70,"C",IF(I3&gt;=60,"D","F"))))</f>
        <v>A</v>
      </c>
    </row>
    <row r="4" spans="1:11" x14ac:dyDescent="0.3">
      <c r="A4" s="38" t="s">
        <v>32</v>
      </c>
      <c r="B4" s="1">
        <f t="shared" si="0"/>
        <v>3</v>
      </c>
      <c r="C4" s="36" t="s">
        <v>30</v>
      </c>
      <c r="D4" s="21">
        <v>0.3</v>
      </c>
      <c r="E4" s="22">
        <v>100</v>
      </c>
      <c r="F4" s="9">
        <f>SUMIF(DETAIL!$E$2:$E$998,C4,DETAIL!$I$2:$I$998)</f>
        <v>100</v>
      </c>
      <c r="G4" s="9">
        <f t="shared" ref="G4:G8" si="7">E4-F4</f>
        <v>0</v>
      </c>
      <c r="H4" s="9">
        <f>COUNTIF(DETAIL!$E$2:$E$103,C4)</f>
        <v>1</v>
      </c>
      <c r="I4" s="12">
        <f t="shared" si="1"/>
        <v>100</v>
      </c>
      <c r="J4" s="12">
        <f t="shared" si="2"/>
        <v>30</v>
      </c>
      <c r="K4" s="34" t="str">
        <f t="shared" si="3"/>
        <v>A</v>
      </c>
    </row>
    <row r="5" spans="1:11" x14ac:dyDescent="0.3">
      <c r="A5" s="38" t="s">
        <v>32</v>
      </c>
      <c r="B5" s="1">
        <f t="shared" si="0"/>
        <v>4</v>
      </c>
      <c r="C5" s="11" t="s">
        <v>16</v>
      </c>
      <c r="D5" s="21">
        <v>0.2</v>
      </c>
      <c r="E5" s="22">
        <v>0</v>
      </c>
      <c r="F5" s="9">
        <f>SUMIF(DETAIL!$E$2:$E$998,C5,DETAIL!$I$2:$I$998)</f>
        <v>0</v>
      </c>
      <c r="G5" s="9">
        <f t="shared" si="7"/>
        <v>0</v>
      </c>
      <c r="H5" s="9">
        <f>COUNTIF(DETAIL!$E$2:$E$103,C5)</f>
        <v>0</v>
      </c>
      <c r="I5" s="12">
        <f t="shared" si="1"/>
        <v>0</v>
      </c>
      <c r="J5" s="12">
        <f t="shared" si="2"/>
        <v>0</v>
      </c>
      <c r="K5" s="34" t="str">
        <f t="shared" si="3"/>
        <v>F</v>
      </c>
    </row>
    <row r="6" spans="1:11" x14ac:dyDescent="0.3">
      <c r="A6" s="38" t="s">
        <v>32</v>
      </c>
      <c r="B6" s="1">
        <f t="shared" si="0"/>
        <v>5</v>
      </c>
      <c r="C6" s="37" t="s">
        <v>17</v>
      </c>
      <c r="D6" s="21">
        <v>0.2</v>
      </c>
      <c r="E6" s="22">
        <v>0</v>
      </c>
      <c r="F6" s="9"/>
      <c r="G6" s="9"/>
      <c r="H6" s="9"/>
      <c r="I6" s="12"/>
      <c r="J6" s="12"/>
      <c r="K6" s="34"/>
    </row>
    <row r="7" spans="1:11" x14ac:dyDescent="0.3">
      <c r="A7" s="38" t="s">
        <v>32</v>
      </c>
      <c r="B7" s="1">
        <f t="shared" si="0"/>
        <v>6</v>
      </c>
      <c r="C7" s="11" t="s">
        <v>18</v>
      </c>
      <c r="D7" s="21">
        <v>0.15</v>
      </c>
      <c r="E7" s="22">
        <v>0</v>
      </c>
      <c r="F7" s="9"/>
      <c r="G7" s="9"/>
      <c r="H7" s="9"/>
      <c r="I7" s="12"/>
      <c r="J7" s="12"/>
      <c r="K7" s="34"/>
    </row>
    <row r="8" spans="1:11" x14ac:dyDescent="0.3">
      <c r="A8" s="29" t="s">
        <v>32</v>
      </c>
      <c r="B8" s="30">
        <f t="shared" si="0"/>
        <v>7</v>
      </c>
      <c r="C8" s="30" t="s">
        <v>7</v>
      </c>
      <c r="D8" s="31">
        <f>SUM(D2:D7)</f>
        <v>0.99999999999999989</v>
      </c>
      <c r="E8" s="32">
        <f>SUM(E2:E7)</f>
        <v>318</v>
      </c>
      <c r="F8" s="32">
        <f>SUM(F2:F7)</f>
        <v>413</v>
      </c>
      <c r="G8" s="32">
        <f t="shared" si="7"/>
        <v>-95</v>
      </c>
      <c r="H8" s="32">
        <f>SUM(H2:H7)</f>
        <v>8</v>
      </c>
      <c r="I8" s="33">
        <f>SUM(I2:I7)</f>
        <v>395</v>
      </c>
      <c r="J8" s="33">
        <f>SUM(J2:J7)</f>
        <v>59.25</v>
      </c>
      <c r="K8" s="32" t="str">
        <f>IF(J8&gt;=90,"A",IF(J8&gt;=80,"B",IF(J8&gt;=70,"C",IF(J8&gt;=60,"D","F"))))</f>
        <v>F</v>
      </c>
    </row>
    <row r="17" spans="4:4" x14ac:dyDescent="0.3">
      <c r="D17" s="2"/>
    </row>
  </sheetData>
  <pageMargins left="0.7" right="0.7" top="0.75" bottom="0.75" header="0.3" footer="0.3"/>
  <pageSetup orientation="landscape" r:id="rId1"/>
  <headerFooter>
    <oddHeader>&amp;C&amp;"-,Bold"&amp;16&amp;A</oddHeader>
    <oddFooter>Page &amp;P of &amp;N</oddFooter>
  </headerFooter>
  <ignoredErrors>
    <ignoredError sqref="H4:H5 G8 H2" formula="1"/>
    <ignoredError sqref="D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Olis Bahari</cp:lastModifiedBy>
  <cp:lastPrinted>2026-08-07T09:51:54Z</cp:lastPrinted>
  <dcterms:created xsi:type="dcterms:W3CDTF">2015-06-05T18:17:20Z</dcterms:created>
  <dcterms:modified xsi:type="dcterms:W3CDTF">2026-09-11T18:03:28Z</dcterms:modified>
</cp:coreProperties>
</file>